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ownloads\Starship\"/>
    </mc:Choice>
  </mc:AlternateContent>
  <xr:revisionPtr revIDLastSave="0" documentId="13_ncr:1_{17821AF7-1E01-4295-910A-57F682238483}" xr6:coauthVersionLast="47" xr6:coauthVersionMax="47" xr10:uidLastSave="{00000000-0000-0000-0000-000000000000}"/>
  <bookViews>
    <workbookView xWindow="-38520" yWindow="-105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1" l="1"/>
  <c r="H3" i="1" l="1"/>
  <c r="H4" i="1"/>
  <c r="P5" i="1"/>
  <c r="P4" i="1"/>
  <c r="O5" i="1"/>
  <c r="O4" i="1"/>
  <c r="N5" i="1"/>
  <c r="N4" i="1"/>
  <c r="O6" i="1"/>
  <c r="N6" i="1"/>
  <c r="P3" i="1"/>
  <c r="N3" i="1"/>
  <c r="O3" i="1"/>
  <c r="K40" i="1"/>
  <c r="K43" i="1"/>
  <c r="K42" i="1"/>
  <c r="K39" i="1" l="1"/>
  <c r="K26" i="1" l="1"/>
  <c r="K21" i="1" l="1"/>
  <c r="K20" i="1"/>
  <c r="K19" i="1"/>
  <c r="K29" i="1" l="1"/>
  <c r="K17" i="1" l="1"/>
  <c r="K63" i="1"/>
  <c r="K62" i="1"/>
  <c r="K61" i="1"/>
  <c r="K60" i="1"/>
  <c r="K59" i="1"/>
  <c r="K58" i="1"/>
  <c r="K57" i="1"/>
  <c r="K54" i="1"/>
  <c r="K56" i="1"/>
  <c r="K55" i="1"/>
  <c r="K53" i="1"/>
  <c r="K52" i="1"/>
  <c r="K64" i="1"/>
  <c r="K50" i="1"/>
  <c r="K51" i="1"/>
  <c r="K47" i="1"/>
  <c r="K46" i="1"/>
  <c r="K49" i="1"/>
  <c r="K48" i="1"/>
  <c r="K45" i="1"/>
  <c r="K44" i="1"/>
  <c r="H5" i="1"/>
  <c r="K18" i="1"/>
  <c r="K34" i="1"/>
  <c r="K33" i="1"/>
  <c r="K32" i="1"/>
  <c r="K31" i="1"/>
  <c r="K27" i="1"/>
  <c r="K25" i="1"/>
  <c r="K24" i="1"/>
  <c r="K22" i="1"/>
  <c r="K23" i="1"/>
  <c r="K15" i="1"/>
  <c r="K12" i="1"/>
  <c r="K28" i="1"/>
  <c r="K36" i="1"/>
  <c r="K37" i="1"/>
  <c r="K35" i="1"/>
  <c r="K38" i="1"/>
  <c r="K14" i="1"/>
  <c r="K16" i="1"/>
  <c r="K13" i="1"/>
  <c r="H2" i="1" l="1"/>
</calcChain>
</file>

<file path=xl/sharedStrings.xml><?xml version="1.0" encoding="utf-8"?>
<sst xmlns="http://schemas.openxmlformats.org/spreadsheetml/2006/main" count="267" uniqueCount="106">
  <si>
    <t>Launch Pad</t>
  </si>
  <si>
    <t>Platform Top</t>
  </si>
  <si>
    <t>Platform Bottom</t>
  </si>
  <si>
    <t>Base</t>
  </si>
  <si>
    <t>Nozzle temp: 205C</t>
  </si>
  <si>
    <t>Bed temp: 60C</t>
  </si>
  <si>
    <t>Print speed: 70mm/s</t>
  </si>
  <si>
    <t>Layer height: 0.2mm</t>
  </si>
  <si>
    <t>Quality: 0.2mm</t>
  </si>
  <si>
    <t>Nozzle size: 0.4mm</t>
  </si>
  <si>
    <t>Infill pattern: Cubic Subdivision</t>
  </si>
  <si>
    <t>Infill %</t>
  </si>
  <si>
    <t>Supports</t>
  </si>
  <si>
    <t>Orientation</t>
  </si>
  <si>
    <t>Filament length (m)</t>
  </si>
  <si>
    <t>Tree</t>
  </si>
  <si>
    <t>Normal</t>
  </si>
  <si>
    <t>None</t>
  </si>
  <si>
    <t>Upside Down</t>
  </si>
  <si>
    <t>Launch Tower</t>
  </si>
  <si>
    <t>Main Segment Top</t>
  </si>
  <si>
    <t>Main Segment Bottom</t>
  </si>
  <si>
    <t>Top Segment Top</t>
  </si>
  <si>
    <t>Top Segment Bottom</t>
  </si>
  <si>
    <t>Component</t>
  </si>
  <si>
    <t>Notes</t>
  </si>
  <si>
    <t>Base Top</t>
  </si>
  <si>
    <t>Base Bottom</t>
  </si>
  <si>
    <t>Chopsticks</t>
  </si>
  <si>
    <t>Chopstick half</t>
  </si>
  <si>
    <t>Link</t>
  </si>
  <si>
    <t xml:space="preserve">Quantity </t>
  </si>
  <si>
    <t>Color</t>
  </si>
  <si>
    <t>Black</t>
  </si>
  <si>
    <t>Segment Lock</t>
  </si>
  <si>
    <t>Flat</t>
  </si>
  <si>
    <t>Link Connector</t>
  </si>
  <si>
    <t>Pulley Spool</t>
  </si>
  <si>
    <t>Pulley Axel</t>
  </si>
  <si>
    <t>Cable Spool</t>
  </si>
  <si>
    <t>Cable Spool Key</t>
  </si>
  <si>
    <t>Cable Spool Stop</t>
  </si>
  <si>
    <t>Assembly</t>
  </si>
  <si>
    <t>Door</t>
  </si>
  <si>
    <t>Carriage Top</t>
  </si>
  <si>
    <t>Carriage Bottom</t>
  </si>
  <si>
    <t>Vertical</t>
  </si>
  <si>
    <t>Cable Spool Axel Stop</t>
  </si>
  <si>
    <t>Support blocker in key, only supports under handle</t>
  </si>
  <si>
    <t>15/25</t>
  </si>
  <si>
    <t>Tree supports: 40 deg branch angle, Placement=Everywhere, Overhang angle = 60 deg</t>
  </si>
  <si>
    <t>Only supports around the 2 rectangular openings; 15% infill for entire body except 25% used for the 3 supports arms and their connection points to base</t>
  </si>
  <si>
    <t>Base Top Alignment Pegs</t>
  </si>
  <si>
    <t>Gray</t>
  </si>
  <si>
    <t>Carriage Axel</t>
  </si>
  <si>
    <t>Carriage Wheel</t>
  </si>
  <si>
    <t>Gray Filament</t>
  </si>
  <si>
    <t>Black Filament</t>
  </si>
  <si>
    <t>Total Print Time</t>
  </si>
  <si>
    <t>Print time per 1 unit (hr)</t>
  </si>
  <si>
    <t>Quick Disconnect Arm</t>
  </si>
  <si>
    <t>Tower Mount</t>
  </si>
  <si>
    <t>g</t>
  </si>
  <si>
    <t>hrs</t>
  </si>
  <si>
    <t>Ship</t>
  </si>
  <si>
    <t>Nose Cone</t>
  </si>
  <si>
    <t>Center Body</t>
  </si>
  <si>
    <t>Aft Bottom</t>
  </si>
  <si>
    <t>Aft Top</t>
  </si>
  <si>
    <t>Forward Flap</t>
  </si>
  <si>
    <t>Aft Flap</t>
  </si>
  <si>
    <t>Booster</t>
  </si>
  <si>
    <t>Vacuum Engines</t>
  </si>
  <si>
    <t xml:space="preserve">Silk Silver Filament </t>
  </si>
  <si>
    <t>Silk Silver</t>
  </si>
  <si>
    <t>Sea Level Engines</t>
  </si>
  <si>
    <t>Ship Heatshield</t>
  </si>
  <si>
    <t>Middle</t>
  </si>
  <si>
    <t>Nosecone</t>
  </si>
  <si>
    <t>Center</t>
  </si>
  <si>
    <t>Aft</t>
  </si>
  <si>
    <t>One must be mirrored</t>
  </si>
  <si>
    <t>Top</t>
  </si>
  <si>
    <t>MiddleTop</t>
  </si>
  <si>
    <t>MiddleBottom</t>
  </si>
  <si>
    <t>Bottom</t>
  </si>
  <si>
    <t>Grid Fin</t>
  </si>
  <si>
    <t>Grid Fin Mount</t>
  </si>
  <si>
    <t>Vertical, Upside Down</t>
  </si>
  <si>
    <t>Used Space Gray</t>
  </si>
  <si>
    <t>Support only under section that mounts to base; Used Space Gray</t>
  </si>
  <si>
    <t>If gives slicing error, try pressing button to "Lay flat"</t>
  </si>
  <si>
    <t>May not need supports</t>
  </si>
  <si>
    <t>One must be mirrored. Can print veritcal or flat. Had adhesion issues with part that inserts into links</t>
  </si>
  <si>
    <t>Arm Back</t>
  </si>
  <si>
    <t>Arm Front</t>
  </si>
  <si>
    <t>Filament mass (g) (per 1 quantity)</t>
  </si>
  <si>
    <t>Ship Connector</t>
  </si>
  <si>
    <t>Booster Claw</t>
  </si>
  <si>
    <t>Flat, Horizontal</t>
  </si>
  <si>
    <t>Vertcal</t>
  </si>
  <si>
    <t>Mechazilla</t>
  </si>
  <si>
    <t>g black</t>
  </si>
  <si>
    <t>g gray</t>
  </si>
  <si>
    <t>g silk silver</t>
  </si>
  <si>
    <t xml:space="preserve">All 62 not necessary. At a minimum, the back of the tower, diagonally from the skids of the chopsticks, must have a segment lock between each tower segment and the base. I recommend the back and sides. Segments lock on front are not necessary as this part of the tower is under compression.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</si>
</sst>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64"/>
  <sheetViews>
    <sheetView tabSelected="1" topLeftCell="A11" zoomScale="85" zoomScaleNormal="85" workbookViewId="0">
      <selection activeCell="O22" sqref="O22"/>
    </sheetView>
  </sheetViews>
  <sheetFormatPr defaultRowHeight="15" x14ac:dyDescent="0.25"/>
  <cols>
    <col min="2" max="3" width="29.28515625" bestFit="1" customWidth="1"/>
    <col min="4" max="4" width="9.140625" bestFit="1" customWidth="1"/>
    <col min="5" max="5" width="10.7109375" bestFit="1" customWidth="1"/>
    <col min="6" max="6" width="7.140625" bestFit="1" customWidth="1"/>
    <col min="7" max="7" width="31.42578125" bestFit="1" customWidth="1"/>
    <col min="8" max="8" width="18.85546875" bestFit="1" customWidth="1"/>
    <col min="9" max="9" width="17.7109375" bestFit="1" customWidth="1"/>
    <col min="10" max="10" width="20.85546875" customWidth="1"/>
    <col min="11" max="11" width="22.85546875" bestFit="1" customWidth="1"/>
    <col min="12" max="12" width="49.85546875" bestFit="1" customWidth="1"/>
    <col min="14" max="14" width="8.140625" customWidth="1"/>
    <col min="15" max="15" width="7.85546875" customWidth="1"/>
    <col min="16" max="16" width="10.42578125" bestFit="1" customWidth="1"/>
    <col min="17" max="17" width="10.7109375" bestFit="1" customWidth="1"/>
  </cols>
  <sheetData>
    <row r="2" spans="2:19" x14ac:dyDescent="0.25">
      <c r="B2" t="s">
        <v>4</v>
      </c>
      <c r="G2" t="s">
        <v>58</v>
      </c>
      <c r="H2" s="12">
        <f>SUMPRODUCT(D12:D64,K12:K64)</f>
        <v>213.74465641025634</v>
      </c>
      <c r="I2" s="15" t="s">
        <v>63</v>
      </c>
      <c r="N2" t="s">
        <v>64</v>
      </c>
      <c r="O2" t="s">
        <v>71</v>
      </c>
      <c r="P2" t="s">
        <v>101</v>
      </c>
      <c r="R2" s="12"/>
    </row>
    <row r="3" spans="2:19" x14ac:dyDescent="0.25">
      <c r="B3" t="s">
        <v>5</v>
      </c>
      <c r="G3" t="s">
        <v>56</v>
      </c>
      <c r="H3" s="12">
        <f>SUMPRODUCT(D12:D25,G12:G25)+SUMPRODUCT(D35:D38,G35:G38)+SUMPRODUCT(D50:D51,G50:G51)+D64*G64</f>
        <v>932.96859999999992</v>
      </c>
      <c r="I3" s="15" t="s">
        <v>62</v>
      </c>
      <c r="N3" s="12">
        <f>SUMPRODUCT(K44:K51,D44:D51)+SUMPRODUCT(K52:K56,D52:D56)</f>
        <v>32.261200000000002</v>
      </c>
      <c r="O3" s="12">
        <f>SUMPRODUCT(K57:K64,D57:D64)</f>
        <v>32.039866666666668</v>
      </c>
      <c r="P3" s="12">
        <f>SUM(K12:K14)+SUMPRODUCT(K15:K25,D15:D25)+SUMPRODUCT(K26:K38,D26:D38)+SUMPRODUCT(D39:D43,K39:K43)</f>
        <v>149.44358974358974</v>
      </c>
      <c r="Q3" s="15" t="s">
        <v>63</v>
      </c>
    </row>
    <row r="4" spans="2:19" x14ac:dyDescent="0.25">
      <c r="B4" t="s">
        <v>6</v>
      </c>
      <c r="G4" t="s">
        <v>57</v>
      </c>
      <c r="H4">
        <f>SUMPRODUCT(D26:D34,G26:G34)+SUMPRODUCT(D52:D56,G52:G56)+SUMPRODUCT(D62:D63,G62:G63)+SUMPRODUCT(G39:G43,D39:D43)</f>
        <v>334.66</v>
      </c>
      <c r="I4" s="15" t="s">
        <v>62</v>
      </c>
      <c r="N4">
        <f>SUMPRODUCT(G52:G56,D52:D56)</f>
        <v>59</v>
      </c>
      <c r="O4">
        <f>SUMPRODUCT(G62:G63,D62:D63)</f>
        <v>8</v>
      </c>
      <c r="P4" s="12">
        <f>SUMPRODUCT(G26:G34,D26:D34)+SUMPRODUCT(G39:G43,D39:D43)</f>
        <v>267.66000000000003</v>
      </c>
      <c r="Q4" s="15" t="s">
        <v>102</v>
      </c>
    </row>
    <row r="5" spans="2:19" x14ac:dyDescent="0.25">
      <c r="B5" t="s">
        <v>10</v>
      </c>
      <c r="G5" t="s">
        <v>73</v>
      </c>
      <c r="H5">
        <f>SUMPRODUCT(D44:D49,G44:G49)+SUMPRODUCT(D57:D61,G57:G61)</f>
        <v>403</v>
      </c>
      <c r="I5" s="15" t="s">
        <v>62</v>
      </c>
      <c r="N5">
        <f>SUMPRODUCT(G50:G51,D50:D51)</f>
        <v>2.7300000000000004</v>
      </c>
      <c r="O5">
        <f>G64*D64</f>
        <v>7.92</v>
      </c>
      <c r="P5" s="12">
        <f>SUM(G12:G14,G35:G38)+SUMPRODUCT(G15:G25,D15:D25)</f>
        <v>922.31859999999995</v>
      </c>
      <c r="Q5" s="15" t="s">
        <v>103</v>
      </c>
      <c r="S5" s="12"/>
    </row>
    <row r="6" spans="2:19" x14ac:dyDescent="0.25">
      <c r="B6" t="s">
        <v>7</v>
      </c>
      <c r="N6">
        <f>SUMPRODUCT(G44:G49,D44:D49)</f>
        <v>176</v>
      </c>
      <c r="O6">
        <f>SUM(G57:G61)</f>
        <v>227</v>
      </c>
      <c r="P6">
        <v>0</v>
      </c>
      <c r="Q6" s="15" t="s">
        <v>104</v>
      </c>
    </row>
    <row r="7" spans="2:19" x14ac:dyDescent="0.25">
      <c r="B7" t="s">
        <v>8</v>
      </c>
    </row>
    <row r="8" spans="2:19" x14ac:dyDescent="0.25">
      <c r="B8" t="s">
        <v>9</v>
      </c>
    </row>
    <row r="9" spans="2:19" x14ac:dyDescent="0.25">
      <c r="B9" t="s">
        <v>50</v>
      </c>
    </row>
    <row r="10" spans="2:19" ht="15.75" thickBot="1" x14ac:dyDescent="0.3"/>
    <row r="11" spans="2:19" ht="15.75" thickBot="1" x14ac:dyDescent="0.3">
      <c r="B11" s="20" t="s">
        <v>42</v>
      </c>
      <c r="C11" s="8" t="s">
        <v>24</v>
      </c>
      <c r="D11" s="8" t="s">
        <v>31</v>
      </c>
      <c r="E11" s="8" t="s">
        <v>32</v>
      </c>
      <c r="F11" s="8" t="s">
        <v>11</v>
      </c>
      <c r="G11" s="8" t="s">
        <v>96</v>
      </c>
      <c r="H11" s="8" t="s">
        <v>14</v>
      </c>
      <c r="I11" s="8" t="s">
        <v>12</v>
      </c>
      <c r="J11" s="8" t="s">
        <v>13</v>
      </c>
      <c r="K11" s="8" t="s">
        <v>59</v>
      </c>
      <c r="L11" s="20" t="s">
        <v>25</v>
      </c>
      <c r="N11" s="3"/>
    </row>
    <row r="12" spans="2:19" x14ac:dyDescent="0.25">
      <c r="B12" s="37" t="s">
        <v>0</v>
      </c>
      <c r="C12" s="3" t="s">
        <v>1</v>
      </c>
      <c r="D12" s="3">
        <v>1</v>
      </c>
      <c r="E12" s="3" t="s">
        <v>53</v>
      </c>
      <c r="F12" s="3">
        <v>20</v>
      </c>
      <c r="G12" s="3">
        <v>46</v>
      </c>
      <c r="H12" s="3">
        <v>15.34</v>
      </c>
      <c r="I12" s="3" t="s">
        <v>15</v>
      </c>
      <c r="J12" s="3" t="s">
        <v>16</v>
      </c>
      <c r="K12" s="5">
        <f>5+8/60</f>
        <v>5.1333333333333337</v>
      </c>
      <c r="L12" s="21" t="s">
        <v>89</v>
      </c>
    </row>
    <row r="13" spans="2:19" x14ac:dyDescent="0.25">
      <c r="B13" s="38"/>
      <c r="C13" s="3" t="s">
        <v>2</v>
      </c>
      <c r="D13" s="3">
        <v>1</v>
      </c>
      <c r="E13" s="3" t="s">
        <v>53</v>
      </c>
      <c r="F13" s="3">
        <v>20</v>
      </c>
      <c r="G13" s="3">
        <v>49</v>
      </c>
      <c r="H13" s="3">
        <v>16.55</v>
      </c>
      <c r="I13" s="3" t="s">
        <v>17</v>
      </c>
      <c r="J13" s="3" t="s">
        <v>18</v>
      </c>
      <c r="K13" s="5">
        <f>4+46/60</f>
        <v>4.7666666666666666</v>
      </c>
      <c r="L13" s="21" t="s">
        <v>89</v>
      </c>
    </row>
    <row r="14" spans="2:19" ht="30.75" thickBot="1" x14ac:dyDescent="0.3">
      <c r="B14" s="39"/>
      <c r="C14" s="6" t="s">
        <v>3</v>
      </c>
      <c r="D14" s="6">
        <v>1</v>
      </c>
      <c r="E14" s="6" t="s">
        <v>53</v>
      </c>
      <c r="F14" s="6">
        <v>20</v>
      </c>
      <c r="G14" s="6">
        <v>110</v>
      </c>
      <c r="H14" s="6">
        <v>36.94</v>
      </c>
      <c r="I14" s="6" t="s">
        <v>15</v>
      </c>
      <c r="J14" s="6" t="s">
        <v>16</v>
      </c>
      <c r="K14" s="9">
        <f>10+46/60</f>
        <v>10.766666666666667</v>
      </c>
      <c r="L14" s="22" t="s">
        <v>90</v>
      </c>
    </row>
    <row r="15" spans="2:19" x14ac:dyDescent="0.25">
      <c r="B15" s="40" t="s">
        <v>19</v>
      </c>
      <c r="C15" s="4" t="s">
        <v>20</v>
      </c>
      <c r="D15" s="4">
        <v>7</v>
      </c>
      <c r="E15" s="4" t="s">
        <v>53</v>
      </c>
      <c r="F15" s="4">
        <v>20</v>
      </c>
      <c r="G15" s="4">
        <v>28</v>
      </c>
      <c r="H15" s="4">
        <v>9.83</v>
      </c>
      <c r="I15" s="4" t="s">
        <v>17</v>
      </c>
      <c r="J15" s="4" t="s">
        <v>16</v>
      </c>
      <c r="K15" s="10">
        <f>3+45/60</f>
        <v>3.75</v>
      </c>
      <c r="L15" s="23"/>
    </row>
    <row r="16" spans="2:19" x14ac:dyDescent="0.25">
      <c r="B16" s="38"/>
      <c r="C16" s="3" t="s">
        <v>21</v>
      </c>
      <c r="D16" s="3">
        <v>7</v>
      </c>
      <c r="E16" s="3" t="s">
        <v>53</v>
      </c>
      <c r="F16" s="3">
        <v>20</v>
      </c>
      <c r="G16" s="3">
        <v>38</v>
      </c>
      <c r="H16" s="3">
        <v>12.83</v>
      </c>
      <c r="I16" s="3" t="s">
        <v>17</v>
      </c>
      <c r="J16" s="3" t="s">
        <v>16</v>
      </c>
      <c r="K16" s="5">
        <f>4+53/60</f>
        <v>4.8833333333333329</v>
      </c>
      <c r="L16" s="21"/>
    </row>
    <row r="17" spans="2:14" x14ac:dyDescent="0.25">
      <c r="B17" s="38"/>
      <c r="C17" s="3" t="s">
        <v>22</v>
      </c>
      <c r="D17" s="3">
        <v>1</v>
      </c>
      <c r="E17" s="3" t="s">
        <v>53</v>
      </c>
      <c r="F17" s="3">
        <v>20</v>
      </c>
      <c r="G17" s="3">
        <v>21</v>
      </c>
      <c r="H17" s="3">
        <v>7.04</v>
      </c>
      <c r="I17" s="3" t="s">
        <v>17</v>
      </c>
      <c r="J17" s="3" t="s">
        <v>18</v>
      </c>
      <c r="K17" s="5">
        <f>2+36/60</f>
        <v>2.6</v>
      </c>
      <c r="L17" s="21"/>
    </row>
    <row r="18" spans="2:14" x14ac:dyDescent="0.25">
      <c r="B18" s="38"/>
      <c r="C18" s="3" t="s">
        <v>23</v>
      </c>
      <c r="D18" s="3">
        <v>1</v>
      </c>
      <c r="E18" s="3" t="s">
        <v>53</v>
      </c>
      <c r="F18" s="3">
        <v>20</v>
      </c>
      <c r="G18" s="3">
        <v>41</v>
      </c>
      <c r="H18" s="3">
        <v>13.82</v>
      </c>
      <c r="I18" s="3" t="s">
        <v>17</v>
      </c>
      <c r="J18" s="3" t="s">
        <v>16</v>
      </c>
      <c r="K18" s="5">
        <f>5+17/60</f>
        <v>5.2833333333333332</v>
      </c>
      <c r="L18" s="21"/>
    </row>
    <row r="19" spans="2:14" x14ac:dyDescent="0.25">
      <c r="B19" s="38"/>
      <c r="C19" s="3" t="s">
        <v>26</v>
      </c>
      <c r="D19" s="3">
        <v>1</v>
      </c>
      <c r="E19" s="3" t="s">
        <v>53</v>
      </c>
      <c r="F19" s="3">
        <v>20</v>
      </c>
      <c r="G19" s="3">
        <v>80</v>
      </c>
      <c r="H19" s="3">
        <v>26.84</v>
      </c>
      <c r="I19" s="3" t="s">
        <v>17</v>
      </c>
      <c r="J19" s="3" t="s">
        <v>18</v>
      </c>
      <c r="K19" s="5">
        <f>7+22/60</f>
        <v>7.3666666666666663</v>
      </c>
      <c r="L19" s="21"/>
    </row>
    <row r="20" spans="2:14" ht="45" x14ac:dyDescent="0.25">
      <c r="B20" s="38"/>
      <c r="C20" s="3" t="s">
        <v>27</v>
      </c>
      <c r="D20" s="3">
        <v>1</v>
      </c>
      <c r="E20" s="3" t="s">
        <v>53</v>
      </c>
      <c r="F20" s="3" t="s">
        <v>49</v>
      </c>
      <c r="G20" s="3">
        <v>64</v>
      </c>
      <c r="H20" s="3">
        <v>21.58</v>
      </c>
      <c r="I20" s="3" t="s">
        <v>15</v>
      </c>
      <c r="J20" s="3" t="s">
        <v>16</v>
      </c>
      <c r="K20" s="5">
        <f>6+35/60</f>
        <v>6.583333333333333</v>
      </c>
      <c r="L20" s="21" t="s">
        <v>51</v>
      </c>
    </row>
    <row r="21" spans="2:14" x14ac:dyDescent="0.25">
      <c r="B21" s="38"/>
      <c r="C21" s="3" t="s">
        <v>43</v>
      </c>
      <c r="D21" s="3">
        <v>2</v>
      </c>
      <c r="E21" s="3" t="s">
        <v>53</v>
      </c>
      <c r="F21" s="3">
        <v>10</v>
      </c>
      <c r="G21" s="3">
        <v>8.5</v>
      </c>
      <c r="H21" s="3">
        <v>2.93</v>
      </c>
      <c r="I21" s="3" t="s">
        <v>17</v>
      </c>
      <c r="J21" s="3" t="s">
        <v>35</v>
      </c>
      <c r="K21" s="5">
        <f>(1+43/60)/D21</f>
        <v>0.85833333333333339</v>
      </c>
      <c r="L21" s="21"/>
    </row>
    <row r="22" spans="2:14" x14ac:dyDescent="0.25">
      <c r="B22" s="38"/>
      <c r="C22" s="3" t="s">
        <v>37</v>
      </c>
      <c r="D22" s="3">
        <v>2</v>
      </c>
      <c r="E22" s="3" t="s">
        <v>53</v>
      </c>
      <c r="F22" s="3">
        <v>25</v>
      </c>
      <c r="G22" s="3">
        <v>0.33</v>
      </c>
      <c r="H22" s="3">
        <v>0.123</v>
      </c>
      <c r="I22" s="3" t="s">
        <v>15</v>
      </c>
      <c r="J22" s="3" t="s">
        <v>35</v>
      </c>
      <c r="K22" s="5">
        <f>14/60/D22</f>
        <v>0.11666666666666667</v>
      </c>
      <c r="L22" s="21"/>
    </row>
    <row r="23" spans="2:14" x14ac:dyDescent="0.25">
      <c r="B23" s="38"/>
      <c r="C23" s="3" t="s">
        <v>38</v>
      </c>
      <c r="D23" s="3">
        <v>2</v>
      </c>
      <c r="E23" s="3" t="s">
        <v>53</v>
      </c>
      <c r="F23" s="3">
        <v>25</v>
      </c>
      <c r="G23" s="3">
        <v>0.33</v>
      </c>
      <c r="H23" s="3">
        <v>0.1</v>
      </c>
      <c r="I23" s="3" t="s">
        <v>17</v>
      </c>
      <c r="J23" s="3" t="s">
        <v>46</v>
      </c>
      <c r="K23" s="3">
        <f>18/60/D23</f>
        <v>0.15</v>
      </c>
      <c r="L23" s="21"/>
    </row>
    <row r="24" spans="2:14" x14ac:dyDescent="0.25">
      <c r="B24" s="41"/>
      <c r="C24" s="3" t="s">
        <v>52</v>
      </c>
      <c r="D24" s="3">
        <v>4</v>
      </c>
      <c r="E24" s="3" t="s">
        <v>53</v>
      </c>
      <c r="F24" s="3">
        <v>25</v>
      </c>
      <c r="G24" s="3">
        <v>0.5</v>
      </c>
      <c r="H24" s="3">
        <v>0.185</v>
      </c>
      <c r="I24" s="3" t="s">
        <v>17</v>
      </c>
      <c r="J24" s="3" t="s">
        <v>46</v>
      </c>
      <c r="K24" s="3">
        <f>33/60/D24</f>
        <v>0.13750000000000001</v>
      </c>
      <c r="L24" s="21"/>
    </row>
    <row r="25" spans="2:14" ht="90.75" thickBot="1" x14ac:dyDescent="0.3">
      <c r="B25" s="41"/>
      <c r="C25" s="6" t="s">
        <v>34</v>
      </c>
      <c r="D25" s="6">
        <v>62</v>
      </c>
      <c r="E25" s="3" t="s">
        <v>53</v>
      </c>
      <c r="F25" s="6">
        <v>20</v>
      </c>
      <c r="G25" s="6">
        <v>0.2903</v>
      </c>
      <c r="H25" s="6">
        <v>9.5600000000000004E-2</v>
      </c>
      <c r="I25" s="6" t="s">
        <v>17</v>
      </c>
      <c r="J25" s="6" t="s">
        <v>35</v>
      </c>
      <c r="K25" s="9">
        <f>(2+47/60)/D25</f>
        <v>4.4892473118279569E-2</v>
      </c>
      <c r="L25" s="22" t="s">
        <v>105</v>
      </c>
    </row>
    <row r="26" spans="2:14" ht="45" x14ac:dyDescent="0.25">
      <c r="B26" s="37" t="s">
        <v>28</v>
      </c>
      <c r="C26" s="4" t="s">
        <v>29</v>
      </c>
      <c r="D26" s="4">
        <v>2</v>
      </c>
      <c r="E26" s="4" t="s">
        <v>33</v>
      </c>
      <c r="F26" s="4">
        <v>25</v>
      </c>
      <c r="G26" s="4">
        <v>72</v>
      </c>
      <c r="H26" s="4">
        <v>24.06</v>
      </c>
      <c r="I26" s="4" t="s">
        <v>15</v>
      </c>
      <c r="J26" s="4" t="s">
        <v>46</v>
      </c>
      <c r="K26" s="10">
        <f>10+10/60</f>
        <v>10.166666666666666</v>
      </c>
      <c r="L26" s="23" t="s">
        <v>93</v>
      </c>
    </row>
    <row r="27" spans="2:14" x14ac:dyDescent="0.25">
      <c r="B27" s="38"/>
      <c r="C27" s="3" t="s">
        <v>30</v>
      </c>
      <c r="D27" s="3">
        <v>2</v>
      </c>
      <c r="E27" s="3" t="s">
        <v>33</v>
      </c>
      <c r="F27" s="3">
        <v>25</v>
      </c>
      <c r="G27" s="3">
        <v>2.5</v>
      </c>
      <c r="H27" s="3">
        <v>0.86</v>
      </c>
      <c r="I27" s="3" t="s">
        <v>17</v>
      </c>
      <c r="J27" s="3" t="s">
        <v>35</v>
      </c>
      <c r="K27" s="5">
        <f>39/60/D27</f>
        <v>0.32500000000000001</v>
      </c>
      <c r="L27" s="21"/>
    </row>
    <row r="28" spans="2:14" x14ac:dyDescent="0.25">
      <c r="B28" s="38"/>
      <c r="C28" s="3" t="s">
        <v>36</v>
      </c>
      <c r="D28" s="3">
        <v>1</v>
      </c>
      <c r="E28" s="3" t="s">
        <v>33</v>
      </c>
      <c r="F28" s="3">
        <v>25</v>
      </c>
      <c r="G28" s="3">
        <v>2</v>
      </c>
      <c r="H28" s="3">
        <v>0.7</v>
      </c>
      <c r="I28" s="3" t="s">
        <v>17</v>
      </c>
      <c r="J28" s="3" t="s">
        <v>35</v>
      </c>
      <c r="K28" s="5">
        <f>18/65</f>
        <v>0.27692307692307694</v>
      </c>
      <c r="L28" s="21"/>
    </row>
    <row r="29" spans="2:14" x14ac:dyDescent="0.25">
      <c r="B29" s="38"/>
      <c r="C29" s="3" t="s">
        <v>44</v>
      </c>
      <c r="D29" s="3">
        <v>1</v>
      </c>
      <c r="E29" s="3" t="s">
        <v>33</v>
      </c>
      <c r="F29" s="3">
        <v>25</v>
      </c>
      <c r="G29" s="3">
        <v>14</v>
      </c>
      <c r="H29" s="3">
        <v>4.63</v>
      </c>
      <c r="I29" s="3" t="s">
        <v>17</v>
      </c>
      <c r="J29" s="3" t="s">
        <v>16</v>
      </c>
      <c r="K29" s="5">
        <f>1+38/60</f>
        <v>1.6333333333333333</v>
      </c>
      <c r="L29" s="21"/>
      <c r="N29" s="3"/>
    </row>
    <row r="30" spans="2:14" x14ac:dyDescent="0.25">
      <c r="B30" s="38"/>
      <c r="C30" s="3" t="s">
        <v>45</v>
      </c>
      <c r="D30" s="3">
        <v>1</v>
      </c>
      <c r="E30" s="3" t="s">
        <v>33</v>
      </c>
      <c r="F30" s="3">
        <v>25</v>
      </c>
      <c r="G30" s="3">
        <v>17</v>
      </c>
      <c r="H30" s="3">
        <v>5.55</v>
      </c>
      <c r="I30" s="3" t="s">
        <v>17</v>
      </c>
      <c r="J30" s="3" t="s">
        <v>16</v>
      </c>
      <c r="K30" s="5">
        <v>2.35</v>
      </c>
      <c r="L30" s="21"/>
      <c r="N30" s="5"/>
    </row>
    <row r="31" spans="2:14" x14ac:dyDescent="0.25">
      <c r="B31" s="38"/>
      <c r="C31" s="3" t="s">
        <v>54</v>
      </c>
      <c r="D31" s="3">
        <v>8</v>
      </c>
      <c r="E31" s="3" t="s">
        <v>33</v>
      </c>
      <c r="F31" s="3">
        <v>25</v>
      </c>
      <c r="G31" s="3">
        <v>0.125</v>
      </c>
      <c r="H31" s="3">
        <v>4.2500000000000003E-2</v>
      </c>
      <c r="I31" s="3" t="s">
        <v>17</v>
      </c>
      <c r="J31" s="3" t="s">
        <v>35</v>
      </c>
      <c r="K31" s="3">
        <f>24/60/D31</f>
        <v>0.05</v>
      </c>
      <c r="L31" s="21"/>
    </row>
    <row r="32" spans="2:14" x14ac:dyDescent="0.25">
      <c r="B32" s="38"/>
      <c r="C32" s="3" t="s">
        <v>55</v>
      </c>
      <c r="D32" s="3">
        <v>8</v>
      </c>
      <c r="E32" s="3" t="s">
        <v>33</v>
      </c>
      <c r="F32" s="3">
        <v>25</v>
      </c>
      <c r="G32" s="3">
        <v>0.5</v>
      </c>
      <c r="H32" s="3">
        <v>0.155</v>
      </c>
      <c r="I32" s="3" t="s">
        <v>15</v>
      </c>
      <c r="J32" s="3" t="s">
        <v>35</v>
      </c>
      <c r="K32" s="5">
        <f>40/60/D32</f>
        <v>8.3333333333333329E-2</v>
      </c>
      <c r="L32" s="21"/>
    </row>
    <row r="33" spans="2:12" x14ac:dyDescent="0.25">
      <c r="B33" s="38"/>
      <c r="C33" s="3" t="s">
        <v>37</v>
      </c>
      <c r="D33" s="3">
        <v>1</v>
      </c>
      <c r="E33" s="3" t="s">
        <v>33</v>
      </c>
      <c r="F33" s="3">
        <v>25</v>
      </c>
      <c r="G33" s="3">
        <v>0.33</v>
      </c>
      <c r="H33" s="3">
        <v>0.123</v>
      </c>
      <c r="I33" s="3" t="s">
        <v>15</v>
      </c>
      <c r="J33" s="3" t="s">
        <v>35</v>
      </c>
      <c r="K33" s="5">
        <f>7/60</f>
        <v>0.11666666666666667</v>
      </c>
      <c r="L33" s="21"/>
    </row>
    <row r="34" spans="2:12" x14ac:dyDescent="0.25">
      <c r="B34" s="38"/>
      <c r="C34" s="3" t="s">
        <v>38</v>
      </c>
      <c r="D34" s="3">
        <v>1</v>
      </c>
      <c r="E34" s="3" t="s">
        <v>33</v>
      </c>
      <c r="F34" s="3">
        <v>25</v>
      </c>
      <c r="G34" s="3">
        <v>0.33</v>
      </c>
      <c r="H34" s="3">
        <v>0.1</v>
      </c>
      <c r="I34" s="3" t="s">
        <v>17</v>
      </c>
      <c r="J34" s="3" t="s">
        <v>46</v>
      </c>
      <c r="K34" s="5">
        <f>9/60</f>
        <v>0.15</v>
      </c>
      <c r="L34" s="21"/>
    </row>
    <row r="35" spans="2:12" x14ac:dyDescent="0.25">
      <c r="B35" s="38"/>
      <c r="C35" s="3" t="s">
        <v>39</v>
      </c>
      <c r="D35" s="3">
        <v>1</v>
      </c>
      <c r="E35" s="3" t="s">
        <v>53</v>
      </c>
      <c r="F35" s="3">
        <v>25</v>
      </c>
      <c r="G35" s="3">
        <v>7</v>
      </c>
      <c r="H35" s="3">
        <v>2.2000000000000002</v>
      </c>
      <c r="I35" s="3" t="s">
        <v>15</v>
      </c>
      <c r="J35" s="3" t="s">
        <v>46</v>
      </c>
      <c r="K35" s="11">
        <f>1+24/60</f>
        <v>1.4</v>
      </c>
      <c r="L35" s="21"/>
    </row>
    <row r="36" spans="2:12" x14ac:dyDescent="0.25">
      <c r="B36" s="38"/>
      <c r="C36" s="3" t="s">
        <v>40</v>
      </c>
      <c r="D36" s="3">
        <v>1</v>
      </c>
      <c r="E36" s="3" t="s">
        <v>53</v>
      </c>
      <c r="F36" s="3">
        <v>25</v>
      </c>
      <c r="G36" s="3">
        <v>3</v>
      </c>
      <c r="H36" s="3">
        <v>1.17</v>
      </c>
      <c r="I36" s="3" t="s">
        <v>15</v>
      </c>
      <c r="J36" s="3" t="s">
        <v>46</v>
      </c>
      <c r="K36" s="7">
        <f>1+5/60</f>
        <v>1.0833333333333333</v>
      </c>
      <c r="L36" s="21" t="s">
        <v>48</v>
      </c>
    </row>
    <row r="37" spans="2:12" x14ac:dyDescent="0.25">
      <c r="B37" s="38"/>
      <c r="C37" s="3" t="s">
        <v>47</v>
      </c>
      <c r="D37" s="3">
        <v>1</v>
      </c>
      <c r="E37" s="3" t="s">
        <v>53</v>
      </c>
      <c r="F37" s="3">
        <v>25</v>
      </c>
      <c r="G37" s="3">
        <v>0</v>
      </c>
      <c r="H37" s="3">
        <v>7.0000000000000007E-2</v>
      </c>
      <c r="I37" s="3" t="s">
        <v>17</v>
      </c>
      <c r="J37" s="3" t="s">
        <v>46</v>
      </c>
      <c r="K37" s="3">
        <f>3/60</f>
        <v>0.05</v>
      </c>
      <c r="L37" s="21"/>
    </row>
    <row r="38" spans="2:12" ht="15.75" thickBot="1" x14ac:dyDescent="0.3">
      <c r="B38" s="39"/>
      <c r="C38" s="6" t="s">
        <v>41</v>
      </c>
      <c r="D38" s="6">
        <v>1</v>
      </c>
      <c r="E38" s="6" t="s">
        <v>53</v>
      </c>
      <c r="F38" s="6">
        <v>25</v>
      </c>
      <c r="G38" s="6">
        <v>1</v>
      </c>
      <c r="H38" s="6">
        <v>0.41</v>
      </c>
      <c r="I38" s="6" t="s">
        <v>15</v>
      </c>
      <c r="J38" s="6" t="s">
        <v>16</v>
      </c>
      <c r="K38" s="6">
        <f>12/60</f>
        <v>0.2</v>
      </c>
      <c r="L38" s="22"/>
    </row>
    <row r="39" spans="2:12" x14ac:dyDescent="0.25">
      <c r="B39" s="34" t="s">
        <v>60</v>
      </c>
      <c r="C39" s="4" t="s">
        <v>61</v>
      </c>
      <c r="D39" s="4">
        <v>1</v>
      </c>
      <c r="E39" s="4" t="s">
        <v>33</v>
      </c>
      <c r="F39" s="4">
        <v>15</v>
      </c>
      <c r="G39" s="2">
        <v>2</v>
      </c>
      <c r="H39" s="2">
        <v>0.67</v>
      </c>
      <c r="I39" s="2" t="s">
        <v>17</v>
      </c>
      <c r="J39" s="2" t="s">
        <v>99</v>
      </c>
      <c r="K39" s="32">
        <f>19/60</f>
        <v>0.31666666666666665</v>
      </c>
      <c r="L39" s="14"/>
    </row>
    <row r="40" spans="2:12" x14ac:dyDescent="0.25">
      <c r="B40" s="35"/>
      <c r="C40" s="3" t="s">
        <v>95</v>
      </c>
      <c r="D40" s="3">
        <v>1</v>
      </c>
      <c r="E40" s="3" t="s">
        <v>33</v>
      </c>
      <c r="F40" s="3">
        <v>15</v>
      </c>
      <c r="G40" s="19">
        <v>17</v>
      </c>
      <c r="H40" s="19">
        <v>5.86</v>
      </c>
      <c r="I40" s="3" t="s">
        <v>16</v>
      </c>
      <c r="J40" s="3" t="s">
        <v>46</v>
      </c>
      <c r="K40" s="33">
        <f>2+38/60</f>
        <v>2.6333333333333333</v>
      </c>
      <c r="L40" s="25"/>
    </row>
    <row r="41" spans="2:12" x14ac:dyDescent="0.25">
      <c r="B41" s="35"/>
      <c r="C41" s="3" t="s">
        <v>94</v>
      </c>
      <c r="D41" s="3">
        <v>1</v>
      </c>
      <c r="E41" s="3" t="s">
        <v>33</v>
      </c>
      <c r="F41" s="3">
        <v>15</v>
      </c>
      <c r="G41" s="19">
        <v>57</v>
      </c>
      <c r="H41" s="19">
        <v>18.98</v>
      </c>
      <c r="I41" s="19" t="s">
        <v>15</v>
      </c>
      <c r="J41" s="19" t="s">
        <v>100</v>
      </c>
      <c r="K41" s="33">
        <f>7+47/60</f>
        <v>7.7833333333333332</v>
      </c>
      <c r="L41" s="25"/>
    </row>
    <row r="42" spans="2:12" x14ac:dyDescent="0.25">
      <c r="B42" s="35"/>
      <c r="C42" s="3" t="s">
        <v>98</v>
      </c>
      <c r="D42" s="3">
        <v>2</v>
      </c>
      <c r="E42" s="3" t="s">
        <v>33</v>
      </c>
      <c r="F42" s="3">
        <v>15</v>
      </c>
      <c r="G42" s="19">
        <v>1.5</v>
      </c>
      <c r="H42" s="19">
        <v>0.92</v>
      </c>
      <c r="I42" s="19" t="s">
        <v>17</v>
      </c>
      <c r="J42" s="19" t="s">
        <v>35</v>
      </c>
      <c r="K42" s="31">
        <f>21/60</f>
        <v>0.35</v>
      </c>
      <c r="L42" s="25"/>
    </row>
    <row r="43" spans="2:12" ht="15.75" thickBot="1" x14ac:dyDescent="0.3">
      <c r="B43" s="36"/>
      <c r="C43" s="13" t="s">
        <v>97</v>
      </c>
      <c r="D43" s="6">
        <v>1</v>
      </c>
      <c r="E43" s="6" t="s">
        <v>33</v>
      </c>
      <c r="F43" s="6">
        <v>15</v>
      </c>
      <c r="G43" s="1">
        <v>1</v>
      </c>
      <c r="H43" s="1">
        <v>0.17</v>
      </c>
      <c r="I43" s="1" t="s">
        <v>17</v>
      </c>
      <c r="J43" s="1" t="s">
        <v>46</v>
      </c>
      <c r="K43" s="30">
        <f>11/60</f>
        <v>0.18333333333333332</v>
      </c>
      <c r="L43" s="24"/>
    </row>
    <row r="44" spans="2:12" x14ac:dyDescent="0.25">
      <c r="B44" s="34" t="s">
        <v>64</v>
      </c>
      <c r="C44" s="17" t="s">
        <v>65</v>
      </c>
      <c r="D44" s="4">
        <v>1</v>
      </c>
      <c r="E44" s="2" t="s">
        <v>74</v>
      </c>
      <c r="F44" s="2">
        <v>15</v>
      </c>
      <c r="G44" s="2">
        <v>36</v>
      </c>
      <c r="H44" s="2">
        <v>12.01</v>
      </c>
      <c r="I44" s="2" t="s">
        <v>15</v>
      </c>
      <c r="J44" s="2" t="s">
        <v>16</v>
      </c>
      <c r="K44" s="26">
        <f>4+48/60</f>
        <v>4.8</v>
      </c>
      <c r="L44" s="14"/>
    </row>
    <row r="45" spans="2:12" x14ac:dyDescent="0.25">
      <c r="B45" s="35"/>
      <c r="C45" s="16" t="s">
        <v>66</v>
      </c>
      <c r="D45" s="3">
        <v>1</v>
      </c>
      <c r="E45" s="3" t="s">
        <v>74</v>
      </c>
      <c r="F45" s="3">
        <v>15</v>
      </c>
      <c r="G45" s="19">
        <v>64</v>
      </c>
      <c r="H45" s="19">
        <v>21.47</v>
      </c>
      <c r="I45" s="19" t="s">
        <v>17</v>
      </c>
      <c r="J45" s="19" t="s">
        <v>16</v>
      </c>
      <c r="K45" s="27">
        <f>5+51/60</f>
        <v>5.85</v>
      </c>
      <c r="L45" s="25"/>
    </row>
    <row r="46" spans="2:12" x14ac:dyDescent="0.25">
      <c r="B46" s="35"/>
      <c r="C46" s="16" t="s">
        <v>68</v>
      </c>
      <c r="D46" s="3">
        <v>1</v>
      </c>
      <c r="E46" s="3" t="s">
        <v>74</v>
      </c>
      <c r="F46" s="3">
        <v>15</v>
      </c>
      <c r="G46" s="19">
        <v>38</v>
      </c>
      <c r="H46" s="19">
        <v>12.7</v>
      </c>
      <c r="I46" s="19" t="s">
        <v>16</v>
      </c>
      <c r="J46" s="19" t="s">
        <v>18</v>
      </c>
      <c r="K46" s="28">
        <f>5+8/60</f>
        <v>5.1333333333333337</v>
      </c>
      <c r="L46" s="25"/>
    </row>
    <row r="47" spans="2:12" x14ac:dyDescent="0.25">
      <c r="B47" s="35"/>
      <c r="C47" s="16" t="s">
        <v>67</v>
      </c>
      <c r="D47" s="3">
        <v>1</v>
      </c>
      <c r="E47" s="3" t="s">
        <v>74</v>
      </c>
      <c r="F47" s="3">
        <v>15</v>
      </c>
      <c r="G47" s="19">
        <v>20</v>
      </c>
      <c r="H47" s="19">
        <v>6.74</v>
      </c>
      <c r="I47" s="19" t="s">
        <v>16</v>
      </c>
      <c r="J47" s="19" t="s">
        <v>18</v>
      </c>
      <c r="K47" s="27">
        <f>2+57/60</f>
        <v>2.95</v>
      </c>
      <c r="L47" s="25"/>
    </row>
    <row r="48" spans="2:12" x14ac:dyDescent="0.25">
      <c r="B48" s="35"/>
      <c r="C48" s="16" t="s">
        <v>69</v>
      </c>
      <c r="D48" s="3">
        <v>2</v>
      </c>
      <c r="E48" s="3" t="s">
        <v>74</v>
      </c>
      <c r="F48" s="3">
        <v>15</v>
      </c>
      <c r="G48" s="19">
        <v>3</v>
      </c>
      <c r="H48" s="19">
        <v>0.9</v>
      </c>
      <c r="I48" s="19" t="s">
        <v>16</v>
      </c>
      <c r="J48" s="19" t="s">
        <v>35</v>
      </c>
      <c r="K48" s="31">
        <f>17/60</f>
        <v>0.28333333333333333</v>
      </c>
      <c r="L48" s="25" t="s">
        <v>81</v>
      </c>
    </row>
    <row r="49" spans="2:13" x14ac:dyDescent="0.25">
      <c r="B49" s="35"/>
      <c r="C49" s="16" t="s">
        <v>70</v>
      </c>
      <c r="D49" s="3">
        <v>2</v>
      </c>
      <c r="E49" s="3" t="s">
        <v>74</v>
      </c>
      <c r="F49" s="3">
        <v>15</v>
      </c>
      <c r="G49" s="19">
        <v>6</v>
      </c>
      <c r="H49" s="19">
        <v>1.92</v>
      </c>
      <c r="I49" s="19" t="s">
        <v>16</v>
      </c>
      <c r="J49" s="19" t="s">
        <v>35</v>
      </c>
      <c r="K49" s="31">
        <f>35/60</f>
        <v>0.58333333333333337</v>
      </c>
      <c r="L49" s="25" t="s">
        <v>81</v>
      </c>
    </row>
    <row r="50" spans="2:13" x14ac:dyDescent="0.25">
      <c r="B50" s="35"/>
      <c r="C50" s="16" t="s">
        <v>75</v>
      </c>
      <c r="D50" s="3">
        <v>3</v>
      </c>
      <c r="E50" s="3" t="s">
        <v>53</v>
      </c>
      <c r="F50" s="3">
        <v>15</v>
      </c>
      <c r="G50" s="19">
        <v>0.24</v>
      </c>
      <c r="H50" s="19">
        <v>8.5999999999999993E-2</v>
      </c>
      <c r="I50" s="19" t="s">
        <v>17</v>
      </c>
      <c r="J50" s="19" t="s">
        <v>16</v>
      </c>
      <c r="K50" s="31">
        <f>3.224/60</f>
        <v>5.3733333333333334E-2</v>
      </c>
      <c r="L50" s="25"/>
    </row>
    <row r="51" spans="2:13" ht="15.75" thickBot="1" x14ac:dyDescent="0.3">
      <c r="B51" s="36"/>
      <c r="C51" s="13" t="s">
        <v>72</v>
      </c>
      <c r="D51" s="6">
        <v>3</v>
      </c>
      <c r="E51" s="6" t="s">
        <v>53</v>
      </c>
      <c r="F51" s="1">
        <v>15</v>
      </c>
      <c r="G51" s="1">
        <v>0.67</v>
      </c>
      <c r="H51" s="1">
        <v>0.23</v>
      </c>
      <c r="I51" s="1" t="s">
        <v>15</v>
      </c>
      <c r="J51" s="1" t="s">
        <v>16</v>
      </c>
      <c r="K51" s="30">
        <f>10/60</f>
        <v>0.16666666666666666</v>
      </c>
      <c r="L51" s="24"/>
    </row>
    <row r="52" spans="2:13" x14ac:dyDescent="0.25">
      <c r="B52" s="34" t="s">
        <v>76</v>
      </c>
      <c r="C52" s="17" t="s">
        <v>78</v>
      </c>
      <c r="D52" s="4">
        <v>1</v>
      </c>
      <c r="E52" s="2" t="s">
        <v>33</v>
      </c>
      <c r="F52" s="2">
        <v>15</v>
      </c>
      <c r="G52" s="2">
        <v>15</v>
      </c>
      <c r="H52" s="2">
        <v>5.0199999999999996</v>
      </c>
      <c r="I52" s="2" t="s">
        <v>15</v>
      </c>
      <c r="J52" s="2" t="s">
        <v>46</v>
      </c>
      <c r="K52" s="29">
        <f>2+56/60</f>
        <v>2.9333333333333336</v>
      </c>
      <c r="L52" s="14" t="s">
        <v>91</v>
      </c>
    </row>
    <row r="53" spans="2:13" x14ac:dyDescent="0.25">
      <c r="B53" s="35"/>
      <c r="C53" s="16" t="s">
        <v>79</v>
      </c>
      <c r="D53" s="3">
        <v>1</v>
      </c>
      <c r="E53" s="3" t="s">
        <v>33</v>
      </c>
      <c r="F53" s="3">
        <v>15</v>
      </c>
      <c r="G53" s="19">
        <v>18</v>
      </c>
      <c r="H53" s="19">
        <v>5.98</v>
      </c>
      <c r="I53" s="19" t="s">
        <v>17</v>
      </c>
      <c r="J53" s="19" t="s">
        <v>88</v>
      </c>
      <c r="K53" s="28">
        <f>3+38/60</f>
        <v>3.6333333333333333</v>
      </c>
      <c r="L53" s="25"/>
    </row>
    <row r="54" spans="2:13" x14ac:dyDescent="0.25">
      <c r="B54" s="35"/>
      <c r="C54" s="16" t="s">
        <v>80</v>
      </c>
      <c r="D54" s="3">
        <v>1</v>
      </c>
      <c r="E54" s="3" t="s">
        <v>33</v>
      </c>
      <c r="F54" s="3">
        <v>15</v>
      </c>
      <c r="G54" s="19">
        <v>14</v>
      </c>
      <c r="H54" s="19">
        <v>4.79</v>
      </c>
      <c r="I54" s="19" t="s">
        <v>15</v>
      </c>
      <c r="J54" s="19" t="s">
        <v>88</v>
      </c>
      <c r="K54" s="28">
        <f>3+4/60</f>
        <v>3.0666666666666669</v>
      </c>
      <c r="L54" s="25" t="s">
        <v>92</v>
      </c>
    </row>
    <row r="55" spans="2:13" x14ac:dyDescent="0.25">
      <c r="B55" s="35"/>
      <c r="C55" s="16" t="s">
        <v>69</v>
      </c>
      <c r="D55" s="3">
        <v>2</v>
      </c>
      <c r="E55" s="3" t="s">
        <v>33</v>
      </c>
      <c r="F55" s="3">
        <v>15</v>
      </c>
      <c r="G55" s="19">
        <v>2</v>
      </c>
      <c r="H55" s="19">
        <v>0.66</v>
      </c>
      <c r="I55" s="19" t="s">
        <v>16</v>
      </c>
      <c r="J55" s="19" t="s">
        <v>35</v>
      </c>
      <c r="K55" s="31">
        <f>17/60</f>
        <v>0.28333333333333333</v>
      </c>
      <c r="L55" s="25" t="s">
        <v>81</v>
      </c>
    </row>
    <row r="56" spans="2:13" ht="15.75" thickBot="1" x14ac:dyDescent="0.3">
      <c r="B56" s="36"/>
      <c r="C56" s="13" t="s">
        <v>70</v>
      </c>
      <c r="D56" s="1">
        <v>2</v>
      </c>
      <c r="E56" s="1" t="s">
        <v>33</v>
      </c>
      <c r="F56" s="1">
        <v>15</v>
      </c>
      <c r="G56" s="1">
        <v>4</v>
      </c>
      <c r="H56" s="1">
        <v>1.29</v>
      </c>
      <c r="I56" s="1" t="s">
        <v>16</v>
      </c>
      <c r="J56" s="1" t="s">
        <v>35</v>
      </c>
      <c r="K56" s="30">
        <f>28/60</f>
        <v>0.46666666666666667</v>
      </c>
      <c r="L56" s="24" t="s">
        <v>81</v>
      </c>
      <c r="M56" s="18"/>
    </row>
    <row r="57" spans="2:13" x14ac:dyDescent="0.25">
      <c r="B57" s="34" t="s">
        <v>71</v>
      </c>
      <c r="C57" s="17" t="s">
        <v>82</v>
      </c>
      <c r="D57" s="4">
        <v>1</v>
      </c>
      <c r="E57" s="4" t="s">
        <v>74</v>
      </c>
      <c r="F57" s="4">
        <v>15</v>
      </c>
      <c r="G57" s="2">
        <v>20</v>
      </c>
      <c r="H57" s="2">
        <v>6.73</v>
      </c>
      <c r="I57" s="2" t="s">
        <v>16</v>
      </c>
      <c r="J57" s="2" t="s">
        <v>16</v>
      </c>
      <c r="K57" s="29">
        <f>3+4/60</f>
        <v>3.0666666666666669</v>
      </c>
      <c r="L57" s="14"/>
    </row>
    <row r="58" spans="2:13" x14ac:dyDescent="0.25">
      <c r="B58" s="35"/>
      <c r="C58" s="16" t="s">
        <v>83</v>
      </c>
      <c r="D58" s="3">
        <v>1</v>
      </c>
      <c r="E58" s="3" t="s">
        <v>74</v>
      </c>
      <c r="F58" s="3">
        <v>15</v>
      </c>
      <c r="G58" s="19">
        <v>72</v>
      </c>
      <c r="H58" s="19">
        <v>24.11</v>
      </c>
      <c r="I58" s="19" t="s">
        <v>17</v>
      </c>
      <c r="J58" s="19" t="s">
        <v>16</v>
      </c>
      <c r="K58" s="28">
        <f>7+5/60</f>
        <v>7.083333333333333</v>
      </c>
      <c r="L58" s="25"/>
    </row>
    <row r="59" spans="2:13" x14ac:dyDescent="0.25">
      <c r="B59" s="35"/>
      <c r="C59" s="16" t="s">
        <v>77</v>
      </c>
      <c r="D59" s="3">
        <v>1</v>
      </c>
      <c r="E59" s="3" t="s">
        <v>74</v>
      </c>
      <c r="F59" s="3">
        <v>15</v>
      </c>
      <c r="G59" s="19">
        <v>44</v>
      </c>
      <c r="H59" s="19">
        <v>14.62</v>
      </c>
      <c r="I59" s="19" t="s">
        <v>17</v>
      </c>
      <c r="J59" s="19" t="s">
        <v>18</v>
      </c>
      <c r="K59" s="28">
        <f>4+53/60</f>
        <v>4.8833333333333329</v>
      </c>
      <c r="L59" s="25"/>
    </row>
    <row r="60" spans="2:13" x14ac:dyDescent="0.25">
      <c r="B60" s="35"/>
      <c r="C60" s="16" t="s">
        <v>84</v>
      </c>
      <c r="D60" s="3">
        <v>1</v>
      </c>
      <c r="E60" s="3" t="s">
        <v>74</v>
      </c>
      <c r="F60" s="3">
        <v>15</v>
      </c>
      <c r="G60" s="19">
        <v>40</v>
      </c>
      <c r="H60" s="19">
        <v>13.29</v>
      </c>
      <c r="I60" s="19" t="s">
        <v>17</v>
      </c>
      <c r="J60" s="19" t="s">
        <v>16</v>
      </c>
      <c r="K60" s="28">
        <f>5+37/60</f>
        <v>5.6166666666666671</v>
      </c>
      <c r="L60" s="25"/>
    </row>
    <row r="61" spans="2:13" x14ac:dyDescent="0.25">
      <c r="B61" s="35"/>
      <c r="C61" s="16" t="s">
        <v>85</v>
      </c>
      <c r="D61" s="3">
        <v>1</v>
      </c>
      <c r="E61" s="3" t="s">
        <v>74</v>
      </c>
      <c r="F61" s="3">
        <v>15</v>
      </c>
      <c r="G61" s="19">
        <v>51</v>
      </c>
      <c r="H61" s="19">
        <v>17.03</v>
      </c>
      <c r="I61" s="19" t="s">
        <v>17</v>
      </c>
      <c r="J61" s="19" t="s">
        <v>16</v>
      </c>
      <c r="K61" s="28">
        <f>7+34/60</f>
        <v>7.5666666666666664</v>
      </c>
      <c r="L61" s="25"/>
    </row>
    <row r="62" spans="2:13" x14ac:dyDescent="0.25">
      <c r="B62" s="35"/>
      <c r="C62" s="16" t="s">
        <v>86</v>
      </c>
      <c r="D62" s="3">
        <v>4</v>
      </c>
      <c r="E62" s="3" t="s">
        <v>33</v>
      </c>
      <c r="F62" s="3">
        <v>15</v>
      </c>
      <c r="G62" s="19">
        <v>1.75</v>
      </c>
      <c r="H62" s="19">
        <v>0.55249999999999999</v>
      </c>
      <c r="I62" s="19" t="s">
        <v>16</v>
      </c>
      <c r="J62" s="19" t="s">
        <v>35</v>
      </c>
      <c r="K62" s="31">
        <f>25.5/60</f>
        <v>0.42499999999999999</v>
      </c>
      <c r="L62" s="25"/>
    </row>
    <row r="63" spans="2:13" x14ac:dyDescent="0.25">
      <c r="B63" s="35"/>
      <c r="C63" s="16" t="s">
        <v>87</v>
      </c>
      <c r="D63" s="3">
        <v>4</v>
      </c>
      <c r="E63" s="3" t="s">
        <v>33</v>
      </c>
      <c r="F63" s="3">
        <v>15</v>
      </c>
      <c r="G63" s="19">
        <v>0.25</v>
      </c>
      <c r="H63" s="19">
        <v>0.16250000000000001</v>
      </c>
      <c r="I63" s="19" t="s">
        <v>17</v>
      </c>
      <c r="J63" s="19" t="s">
        <v>35</v>
      </c>
      <c r="K63" s="31">
        <f>5.25/60</f>
        <v>8.7499999999999994E-2</v>
      </c>
      <c r="L63" s="25"/>
    </row>
    <row r="64" spans="2:13" ht="15.75" thickBot="1" x14ac:dyDescent="0.3">
      <c r="B64" s="36"/>
      <c r="C64" s="13" t="s">
        <v>75</v>
      </c>
      <c r="D64" s="1">
        <v>33</v>
      </c>
      <c r="E64" s="6" t="s">
        <v>53</v>
      </c>
      <c r="F64" s="6">
        <v>15</v>
      </c>
      <c r="G64" s="1">
        <v>0.24</v>
      </c>
      <c r="H64" s="1">
        <v>8.5999999999999993E-2</v>
      </c>
      <c r="I64" s="1" t="s">
        <v>17</v>
      </c>
      <c r="J64" s="1" t="s">
        <v>16</v>
      </c>
      <c r="K64" s="30">
        <f>3.224/60</f>
        <v>5.3733333333333334E-2</v>
      </c>
      <c r="L64" s="24"/>
    </row>
  </sheetData>
  <mergeCells count="7">
    <mergeCell ref="B52:B56"/>
    <mergeCell ref="B57:B64"/>
    <mergeCell ref="B12:B14"/>
    <mergeCell ref="B15:B25"/>
    <mergeCell ref="B26:B38"/>
    <mergeCell ref="B39:B43"/>
    <mergeCell ref="B44:B51"/>
  </mergeCells>
  <pageMargins left="0.7" right="0.7" top="0.75" bottom="0.75" header="0.3" footer="0.3"/>
  <pageSetup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Fydenkevez</dc:creator>
  <cp:lastModifiedBy>Michael Fydenkevez</cp:lastModifiedBy>
  <cp:lastPrinted>2023-03-16T22:20:13Z</cp:lastPrinted>
  <dcterms:created xsi:type="dcterms:W3CDTF">2023-01-28T23:42:13Z</dcterms:created>
  <dcterms:modified xsi:type="dcterms:W3CDTF">2023-03-16T23:49:41Z</dcterms:modified>
</cp:coreProperties>
</file>